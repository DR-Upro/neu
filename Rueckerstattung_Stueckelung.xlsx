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ückerstattu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 CHF&quot;"/>
  </numFmts>
  <fonts count="7">
    <font>
      <name val="Calibri"/>
      <family val="2"/>
      <color theme="1"/>
      <sz val="11"/>
      <scheme val="minor"/>
    </font>
    <font>
      <b val="1"/>
      <sz val="13"/>
    </font>
    <font>
      <i val="1"/>
      <color rgb="00808080"/>
      <sz val="10"/>
    </font>
    <font>
      <b val="1"/>
      <color rgb="00FFFFFF"/>
    </font>
    <font>
      <b val="1"/>
    </font>
    <font>
      <i val="1"/>
      <color rgb="00808080"/>
      <sz val="9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548235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164" fontId="3" fillId="2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0" fillId="4" borderId="1" pivotButton="0" quotePrefix="0" xfId="0"/>
    <xf numFmtId="4" fontId="0" fillId="4" borderId="1" applyAlignment="1" pivotButton="0" quotePrefix="0" xfId="0">
      <alignment horizontal="right"/>
    </xf>
    <xf numFmtId="0" fontId="0" fillId="5" borderId="1" applyAlignment="1" pivotButton="0" quotePrefix="0" xfId="0">
      <alignment horizontal="center"/>
    </xf>
    <xf numFmtId="0" fontId="4" fillId="6" borderId="1" pivotButton="0" quotePrefix="0" xfId="0"/>
    <xf numFmtId="4" fontId="4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center"/>
    </xf>
    <xf numFmtId="0" fontId="5" fillId="0" borderId="0" pivotButton="0" quotePrefix="0" xfId="0"/>
    <xf numFmtId="4" fontId="0" fillId="0" borderId="0" pivotButton="0" quotePrefix="0" xfId="0"/>
    <xf numFmtId="0" fontId="6" fillId="0" borderId="0" pivotButton="0" quotePrefix="0" xfId="0"/>
    <xf numFmtId="164" fontId="0" fillId="7" borderId="1" pivotButton="0" quotePrefix="0" xfId="0"/>
    <xf numFmtId="0" fontId="0" fillId="7" borderId="1" pivotButton="0" quotePrefix="0" xfId="0"/>
    <xf numFmtId="0" fontId="0" fillId="7" borderId="1" applyAlignment="1" pivotButton="0" quotePrefix="0" xfId="0">
      <alignment horizontal="center"/>
    </xf>
    <xf numFmtId="4" fontId="0" fillId="7" borderId="1" applyAlignment="1" pivotButton="0" quotePrefix="0" xfId="0">
      <alignment horizontal="right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Bargeld-Auszahlung Schüler-Auslagen  —  Budget max. CHF 50.00 / Schüler</t>
        </is>
      </c>
    </row>
    <row r="2">
      <c r="A2" s="2" t="inlineStr">
        <is>
          <t>Nur gelbe Felder ausfüllen: Name (Spalte A) und Quittungsbetrag (Spalte B). Stückelung und Bestellliste berechnen sich automatisch.</t>
        </is>
      </c>
    </row>
    <row r="3">
      <c r="A3" s="3" t="inlineStr">
        <is>
          <t>Schüler</t>
        </is>
      </c>
      <c r="B3" s="3" t="inlineStr">
        <is>
          <t>Rückerstattung (CHF)</t>
        </is>
      </c>
      <c r="C3" s="4" t="n">
        <v>20</v>
      </c>
      <c r="D3" s="4" t="n">
        <v>10</v>
      </c>
      <c r="E3" s="4" t="n">
        <v>5</v>
      </c>
      <c r="F3" s="5" t="n">
        <v>2</v>
      </c>
      <c r="G3" s="5" t="n">
        <v>1</v>
      </c>
      <c r="H3" s="5" t="n">
        <v>0.5</v>
      </c>
      <c r="I3" s="5" t="n">
        <v>0.2</v>
      </c>
      <c r="J3" s="5" t="n">
        <v>0.1</v>
      </c>
      <c r="K3" s="5" t="n">
        <v>0.05</v>
      </c>
    </row>
    <row r="4">
      <c r="A4" s="6" t="inlineStr">
        <is>
          <t>Anna</t>
        </is>
      </c>
      <c r="B4" s="7" t="n">
        <v>22</v>
      </c>
      <c r="C4" s="8">
        <f>IF($B4="","",INT(ROUND($B4*100,0)/(C$3*100)))</f>
        <v/>
      </c>
      <c r="D4" s="8">
        <f>IF($B4="","",INT((ROUND($B4*100,0)-SUMPRODUCT($C4:C4,$C$3:C$3)*100)/(D$3*100)))</f>
        <v/>
      </c>
      <c r="E4" s="8">
        <f>IF($B4="","",INT((ROUND($B4*100,0)-SUMPRODUCT($C4:D4,$C$3:D$3)*100)/(E$3*100)))</f>
        <v/>
      </c>
      <c r="F4" s="8">
        <f>IF($B4="","",INT((ROUND($B4*100,0)-SUMPRODUCT($C4:E4,$C$3:E$3)*100)/(F$3*100)))</f>
        <v/>
      </c>
      <c r="G4" s="8">
        <f>IF($B4="","",INT((ROUND($B4*100,0)-SUMPRODUCT($C4:F4,$C$3:F$3)*100)/(G$3*100)))</f>
        <v/>
      </c>
      <c r="H4" s="8">
        <f>IF($B4="","",INT((ROUND($B4*100,0)-SUMPRODUCT($C4:G4,$C$3:G$3)*100)/(H$3*100)))</f>
        <v/>
      </c>
      <c r="I4" s="8">
        <f>IF($B4="","",INT((ROUND($B4*100,0)-SUMPRODUCT($C4:H4,$C$3:H$3)*100)/(I$3*100)))</f>
        <v/>
      </c>
      <c r="J4" s="8">
        <f>IF($B4="","",INT((ROUND($B4*100,0)-SUMPRODUCT($C4:I4,$C$3:I$3)*100)/(J$3*100)))</f>
        <v/>
      </c>
      <c r="K4" s="8">
        <f>IF($B4="","",INT((ROUND($B4*100,0)-SUMPRODUCT($C4:J4,$C$3:J$3)*100)/(K$3*100)))</f>
        <v/>
      </c>
    </row>
    <row r="5">
      <c r="A5" s="6" t="inlineStr">
        <is>
          <t>Ben</t>
        </is>
      </c>
      <c r="B5" s="7" t="n">
        <v>24.45</v>
      </c>
      <c r="C5" s="8">
        <f>IF($B5="","",INT(ROUND($B5*100,0)/(C$3*100)))</f>
        <v/>
      </c>
      <c r="D5" s="8">
        <f>IF($B5="","",INT((ROUND($B5*100,0)-SUMPRODUCT($C5:C5,$C$3:C$3)*100)/(D$3*100)))</f>
        <v/>
      </c>
      <c r="E5" s="8">
        <f>IF($B5="","",INT((ROUND($B5*100,0)-SUMPRODUCT($C5:D5,$C$3:D$3)*100)/(E$3*100)))</f>
        <v/>
      </c>
      <c r="F5" s="8">
        <f>IF($B5="","",INT((ROUND($B5*100,0)-SUMPRODUCT($C5:E5,$C$3:E$3)*100)/(F$3*100)))</f>
        <v/>
      </c>
      <c r="G5" s="8">
        <f>IF($B5="","",INT((ROUND($B5*100,0)-SUMPRODUCT($C5:F5,$C$3:F$3)*100)/(G$3*100)))</f>
        <v/>
      </c>
      <c r="H5" s="8">
        <f>IF($B5="","",INT((ROUND($B5*100,0)-SUMPRODUCT($C5:G5,$C$3:G$3)*100)/(H$3*100)))</f>
        <v/>
      </c>
      <c r="I5" s="8">
        <f>IF($B5="","",INT((ROUND($B5*100,0)-SUMPRODUCT($C5:H5,$C$3:H$3)*100)/(I$3*100)))</f>
        <v/>
      </c>
      <c r="J5" s="8">
        <f>IF($B5="","",INT((ROUND($B5*100,0)-SUMPRODUCT($C5:I5,$C$3:I$3)*100)/(J$3*100)))</f>
        <v/>
      </c>
      <c r="K5" s="8">
        <f>IF($B5="","",INT((ROUND($B5*100,0)-SUMPRODUCT($C5:J5,$C$3:J$3)*100)/(K$3*100)))</f>
        <v/>
      </c>
    </row>
    <row r="6">
      <c r="A6" s="6" t="inlineStr">
        <is>
          <t>Celine</t>
        </is>
      </c>
      <c r="B6" s="7" t="n">
        <v>18.3</v>
      </c>
      <c r="C6" s="8">
        <f>IF($B6="","",INT(ROUND($B6*100,0)/(C$3*100)))</f>
        <v/>
      </c>
      <c r="D6" s="8">
        <f>IF($B6="","",INT((ROUND($B6*100,0)-SUMPRODUCT($C6:C6,$C$3:C$3)*100)/(D$3*100)))</f>
        <v/>
      </c>
      <c r="E6" s="8">
        <f>IF($B6="","",INT((ROUND($B6*100,0)-SUMPRODUCT($C6:D6,$C$3:D$3)*100)/(E$3*100)))</f>
        <v/>
      </c>
      <c r="F6" s="8">
        <f>IF($B6="","",INT((ROUND($B6*100,0)-SUMPRODUCT($C6:E6,$C$3:E$3)*100)/(F$3*100)))</f>
        <v/>
      </c>
      <c r="G6" s="8">
        <f>IF($B6="","",INT((ROUND($B6*100,0)-SUMPRODUCT($C6:F6,$C$3:F$3)*100)/(G$3*100)))</f>
        <v/>
      </c>
      <c r="H6" s="8">
        <f>IF($B6="","",INT((ROUND($B6*100,0)-SUMPRODUCT($C6:G6,$C$3:G$3)*100)/(H$3*100)))</f>
        <v/>
      </c>
      <c r="I6" s="8">
        <f>IF($B6="","",INT((ROUND($B6*100,0)-SUMPRODUCT($C6:H6,$C$3:H$3)*100)/(I$3*100)))</f>
        <v/>
      </c>
      <c r="J6" s="8">
        <f>IF($B6="","",INT((ROUND($B6*100,0)-SUMPRODUCT($C6:I6,$C$3:I$3)*100)/(J$3*100)))</f>
        <v/>
      </c>
      <c r="K6" s="8">
        <f>IF($B6="","",INT((ROUND($B6*100,0)-SUMPRODUCT($C6:J6,$C$3:J$3)*100)/(K$3*100)))</f>
        <v/>
      </c>
    </row>
    <row r="7">
      <c r="A7" s="6" t="inlineStr">
        <is>
          <t>Dario</t>
        </is>
      </c>
      <c r="B7" s="7" t="n">
        <v>19.65</v>
      </c>
      <c r="C7" s="8">
        <f>IF($B7="","",INT(ROUND($B7*100,0)/(C$3*100)))</f>
        <v/>
      </c>
      <c r="D7" s="8">
        <f>IF($B7="","",INT((ROUND($B7*100,0)-SUMPRODUCT($C7:C7,$C$3:C$3)*100)/(D$3*100)))</f>
        <v/>
      </c>
      <c r="E7" s="8">
        <f>IF($B7="","",INT((ROUND($B7*100,0)-SUMPRODUCT($C7:D7,$C$3:D$3)*100)/(E$3*100)))</f>
        <v/>
      </c>
      <c r="F7" s="8">
        <f>IF($B7="","",INT((ROUND($B7*100,0)-SUMPRODUCT($C7:E7,$C$3:E$3)*100)/(F$3*100)))</f>
        <v/>
      </c>
      <c r="G7" s="8">
        <f>IF($B7="","",INT((ROUND($B7*100,0)-SUMPRODUCT($C7:F7,$C$3:F$3)*100)/(G$3*100)))</f>
        <v/>
      </c>
      <c r="H7" s="8">
        <f>IF($B7="","",INT((ROUND($B7*100,0)-SUMPRODUCT($C7:G7,$C$3:G$3)*100)/(H$3*100)))</f>
        <v/>
      </c>
      <c r="I7" s="8">
        <f>IF($B7="","",INT((ROUND($B7*100,0)-SUMPRODUCT($C7:H7,$C$3:H$3)*100)/(I$3*100)))</f>
        <v/>
      </c>
      <c r="J7" s="8">
        <f>IF($B7="","",INT((ROUND($B7*100,0)-SUMPRODUCT($C7:I7,$C$3:I$3)*100)/(J$3*100)))</f>
        <v/>
      </c>
      <c r="K7" s="8">
        <f>IF($B7="","",INT((ROUND($B7*100,0)-SUMPRODUCT($C7:J7,$C$3:J$3)*100)/(K$3*100)))</f>
        <v/>
      </c>
    </row>
    <row r="8">
      <c r="A8" s="6" t="inlineStr">
        <is>
          <t>Eva</t>
        </is>
      </c>
      <c r="B8" s="7" t="n">
        <v>0</v>
      </c>
      <c r="C8" s="8">
        <f>IF($B8="","",INT(ROUND($B8*100,0)/(C$3*100)))</f>
        <v/>
      </c>
      <c r="D8" s="8">
        <f>IF($B8="","",INT((ROUND($B8*100,0)-SUMPRODUCT($C8:C8,$C$3:C$3)*100)/(D$3*100)))</f>
        <v/>
      </c>
      <c r="E8" s="8">
        <f>IF($B8="","",INT((ROUND($B8*100,0)-SUMPRODUCT($C8:D8,$C$3:D$3)*100)/(E$3*100)))</f>
        <v/>
      </c>
      <c r="F8" s="8">
        <f>IF($B8="","",INT((ROUND($B8*100,0)-SUMPRODUCT($C8:E8,$C$3:E$3)*100)/(F$3*100)))</f>
        <v/>
      </c>
      <c r="G8" s="8">
        <f>IF($B8="","",INT((ROUND($B8*100,0)-SUMPRODUCT($C8:F8,$C$3:F$3)*100)/(G$3*100)))</f>
        <v/>
      </c>
      <c r="H8" s="8">
        <f>IF($B8="","",INT((ROUND($B8*100,0)-SUMPRODUCT($C8:G8,$C$3:G$3)*100)/(H$3*100)))</f>
        <v/>
      </c>
      <c r="I8" s="8">
        <f>IF($B8="","",INT((ROUND($B8*100,0)-SUMPRODUCT($C8:H8,$C$3:H$3)*100)/(I$3*100)))</f>
        <v/>
      </c>
      <c r="J8" s="8">
        <f>IF($B8="","",INT((ROUND($B8*100,0)-SUMPRODUCT($C8:I8,$C$3:I$3)*100)/(J$3*100)))</f>
        <v/>
      </c>
      <c r="K8" s="8">
        <f>IF($B8="","",INT((ROUND($B8*100,0)-SUMPRODUCT($C8:J8,$C$3:J$3)*100)/(K$3*100)))</f>
        <v/>
      </c>
    </row>
    <row r="9">
      <c r="A9" s="6" t="n"/>
      <c r="B9" s="7" t="n"/>
      <c r="C9" s="8">
        <f>IF($B9="","",INT(ROUND($B9*100,0)/(C$3*100)))</f>
        <v/>
      </c>
      <c r="D9" s="8">
        <f>IF($B9="","",INT((ROUND($B9*100,0)-SUMPRODUCT($C9:C9,$C$3:C$3)*100)/(D$3*100)))</f>
        <v/>
      </c>
      <c r="E9" s="8">
        <f>IF($B9="","",INT((ROUND($B9*100,0)-SUMPRODUCT($C9:D9,$C$3:D$3)*100)/(E$3*100)))</f>
        <v/>
      </c>
      <c r="F9" s="8">
        <f>IF($B9="","",INT((ROUND($B9*100,0)-SUMPRODUCT($C9:E9,$C$3:E$3)*100)/(F$3*100)))</f>
        <v/>
      </c>
      <c r="G9" s="8">
        <f>IF($B9="","",INT((ROUND($B9*100,0)-SUMPRODUCT($C9:F9,$C$3:F$3)*100)/(G$3*100)))</f>
        <v/>
      </c>
      <c r="H9" s="8">
        <f>IF($B9="","",INT((ROUND($B9*100,0)-SUMPRODUCT($C9:G9,$C$3:G$3)*100)/(H$3*100)))</f>
        <v/>
      </c>
      <c r="I9" s="8">
        <f>IF($B9="","",INT((ROUND($B9*100,0)-SUMPRODUCT($C9:H9,$C$3:H$3)*100)/(I$3*100)))</f>
        <v/>
      </c>
      <c r="J9" s="8">
        <f>IF($B9="","",INT((ROUND($B9*100,0)-SUMPRODUCT($C9:I9,$C$3:I$3)*100)/(J$3*100)))</f>
        <v/>
      </c>
      <c r="K9" s="8">
        <f>IF($B9="","",INT((ROUND($B9*100,0)-SUMPRODUCT($C9:J9,$C$3:J$3)*100)/(K$3*100)))</f>
        <v/>
      </c>
    </row>
    <row r="10">
      <c r="A10" s="6" t="n"/>
      <c r="B10" s="7" t="n"/>
      <c r="C10" s="8">
        <f>IF($B10="","",INT(ROUND($B10*100,0)/(C$3*100)))</f>
        <v/>
      </c>
      <c r="D10" s="8">
        <f>IF($B10="","",INT((ROUND($B10*100,0)-SUMPRODUCT($C10:C10,$C$3:C$3)*100)/(D$3*100)))</f>
        <v/>
      </c>
      <c r="E10" s="8">
        <f>IF($B10="","",INT((ROUND($B10*100,0)-SUMPRODUCT($C10:D10,$C$3:D$3)*100)/(E$3*100)))</f>
        <v/>
      </c>
      <c r="F10" s="8">
        <f>IF($B10="","",INT((ROUND($B10*100,0)-SUMPRODUCT($C10:E10,$C$3:E$3)*100)/(F$3*100)))</f>
        <v/>
      </c>
      <c r="G10" s="8">
        <f>IF($B10="","",INT((ROUND($B10*100,0)-SUMPRODUCT($C10:F10,$C$3:F$3)*100)/(G$3*100)))</f>
        <v/>
      </c>
      <c r="H10" s="8">
        <f>IF($B10="","",INT((ROUND($B10*100,0)-SUMPRODUCT($C10:G10,$C$3:G$3)*100)/(H$3*100)))</f>
        <v/>
      </c>
      <c r="I10" s="8">
        <f>IF($B10="","",INT((ROUND($B10*100,0)-SUMPRODUCT($C10:H10,$C$3:H$3)*100)/(I$3*100)))</f>
        <v/>
      </c>
      <c r="J10" s="8">
        <f>IF($B10="","",INT((ROUND($B10*100,0)-SUMPRODUCT($C10:I10,$C$3:I$3)*100)/(J$3*100)))</f>
        <v/>
      </c>
      <c r="K10" s="8">
        <f>IF($B10="","",INT((ROUND($B10*100,0)-SUMPRODUCT($C10:J10,$C$3:J$3)*100)/(K$3*100)))</f>
        <v/>
      </c>
    </row>
    <row r="11">
      <c r="A11" s="6" t="n"/>
      <c r="B11" s="7" t="n"/>
      <c r="C11" s="8">
        <f>IF($B11="","",INT(ROUND($B11*100,0)/(C$3*100)))</f>
        <v/>
      </c>
      <c r="D11" s="8">
        <f>IF($B11="","",INT((ROUND($B11*100,0)-SUMPRODUCT($C11:C11,$C$3:C$3)*100)/(D$3*100)))</f>
        <v/>
      </c>
      <c r="E11" s="8">
        <f>IF($B11="","",INT((ROUND($B11*100,0)-SUMPRODUCT($C11:D11,$C$3:D$3)*100)/(E$3*100)))</f>
        <v/>
      </c>
      <c r="F11" s="8">
        <f>IF($B11="","",INT((ROUND($B11*100,0)-SUMPRODUCT($C11:E11,$C$3:E$3)*100)/(F$3*100)))</f>
        <v/>
      </c>
      <c r="G11" s="8">
        <f>IF($B11="","",INT((ROUND($B11*100,0)-SUMPRODUCT($C11:F11,$C$3:F$3)*100)/(G$3*100)))</f>
        <v/>
      </c>
      <c r="H11" s="8">
        <f>IF($B11="","",INT((ROUND($B11*100,0)-SUMPRODUCT($C11:G11,$C$3:G$3)*100)/(H$3*100)))</f>
        <v/>
      </c>
      <c r="I11" s="8">
        <f>IF($B11="","",INT((ROUND($B11*100,0)-SUMPRODUCT($C11:H11,$C$3:H$3)*100)/(I$3*100)))</f>
        <v/>
      </c>
      <c r="J11" s="8">
        <f>IF($B11="","",INT((ROUND($B11*100,0)-SUMPRODUCT($C11:I11,$C$3:I$3)*100)/(J$3*100)))</f>
        <v/>
      </c>
      <c r="K11" s="8">
        <f>IF($B11="","",INT((ROUND($B11*100,0)-SUMPRODUCT($C11:J11,$C$3:J$3)*100)/(K$3*100)))</f>
        <v/>
      </c>
    </row>
    <row r="12">
      <c r="A12" s="6" t="n"/>
      <c r="B12" s="7" t="n"/>
      <c r="C12" s="8">
        <f>IF($B12="","",INT(ROUND($B12*100,0)/(C$3*100)))</f>
        <v/>
      </c>
      <c r="D12" s="8">
        <f>IF($B12="","",INT((ROUND($B12*100,0)-SUMPRODUCT($C12:C12,$C$3:C$3)*100)/(D$3*100)))</f>
        <v/>
      </c>
      <c r="E12" s="8">
        <f>IF($B12="","",INT((ROUND($B12*100,0)-SUMPRODUCT($C12:D12,$C$3:D$3)*100)/(E$3*100)))</f>
        <v/>
      </c>
      <c r="F12" s="8">
        <f>IF($B12="","",INT((ROUND($B12*100,0)-SUMPRODUCT($C12:E12,$C$3:E$3)*100)/(F$3*100)))</f>
        <v/>
      </c>
      <c r="G12" s="8">
        <f>IF($B12="","",INT((ROUND($B12*100,0)-SUMPRODUCT($C12:F12,$C$3:F$3)*100)/(G$3*100)))</f>
        <v/>
      </c>
      <c r="H12" s="8">
        <f>IF($B12="","",INT((ROUND($B12*100,0)-SUMPRODUCT($C12:G12,$C$3:G$3)*100)/(H$3*100)))</f>
        <v/>
      </c>
      <c r="I12" s="8">
        <f>IF($B12="","",INT((ROUND($B12*100,0)-SUMPRODUCT($C12:H12,$C$3:H$3)*100)/(I$3*100)))</f>
        <v/>
      </c>
      <c r="J12" s="8">
        <f>IF($B12="","",INT((ROUND($B12*100,0)-SUMPRODUCT($C12:I12,$C$3:I$3)*100)/(J$3*100)))</f>
        <v/>
      </c>
      <c r="K12" s="8">
        <f>IF($B12="","",INT((ROUND($B12*100,0)-SUMPRODUCT($C12:J12,$C$3:J$3)*100)/(K$3*100)))</f>
        <v/>
      </c>
    </row>
    <row r="13">
      <c r="A13" s="6" t="n"/>
      <c r="B13" s="7" t="n"/>
      <c r="C13" s="8">
        <f>IF($B13="","",INT(ROUND($B13*100,0)/(C$3*100)))</f>
        <v/>
      </c>
      <c r="D13" s="8">
        <f>IF($B13="","",INT((ROUND($B13*100,0)-SUMPRODUCT($C13:C13,$C$3:C$3)*100)/(D$3*100)))</f>
        <v/>
      </c>
      <c r="E13" s="8">
        <f>IF($B13="","",INT((ROUND($B13*100,0)-SUMPRODUCT($C13:D13,$C$3:D$3)*100)/(E$3*100)))</f>
        <v/>
      </c>
      <c r="F13" s="8">
        <f>IF($B13="","",INT((ROUND($B13*100,0)-SUMPRODUCT($C13:E13,$C$3:E$3)*100)/(F$3*100)))</f>
        <v/>
      </c>
      <c r="G13" s="8">
        <f>IF($B13="","",INT((ROUND($B13*100,0)-SUMPRODUCT($C13:F13,$C$3:F$3)*100)/(G$3*100)))</f>
        <v/>
      </c>
      <c r="H13" s="8">
        <f>IF($B13="","",INT((ROUND($B13*100,0)-SUMPRODUCT($C13:G13,$C$3:G$3)*100)/(H$3*100)))</f>
        <v/>
      </c>
      <c r="I13" s="8">
        <f>IF($B13="","",INT((ROUND($B13*100,0)-SUMPRODUCT($C13:H13,$C$3:H$3)*100)/(I$3*100)))</f>
        <v/>
      </c>
      <c r="J13" s="8">
        <f>IF($B13="","",INT((ROUND($B13*100,0)-SUMPRODUCT($C13:I13,$C$3:I$3)*100)/(J$3*100)))</f>
        <v/>
      </c>
      <c r="K13" s="8">
        <f>IF($B13="","",INT((ROUND($B13*100,0)-SUMPRODUCT($C13:J13,$C$3:J$3)*100)/(K$3*100)))</f>
        <v/>
      </c>
    </row>
    <row r="14">
      <c r="A14" s="6" t="n"/>
      <c r="B14" s="7" t="n"/>
      <c r="C14" s="8">
        <f>IF($B14="","",INT(ROUND($B14*100,0)/(C$3*100)))</f>
        <v/>
      </c>
      <c r="D14" s="8">
        <f>IF($B14="","",INT((ROUND($B14*100,0)-SUMPRODUCT($C14:C14,$C$3:C$3)*100)/(D$3*100)))</f>
        <v/>
      </c>
      <c r="E14" s="8">
        <f>IF($B14="","",INT((ROUND($B14*100,0)-SUMPRODUCT($C14:D14,$C$3:D$3)*100)/(E$3*100)))</f>
        <v/>
      </c>
      <c r="F14" s="8">
        <f>IF($B14="","",INT((ROUND($B14*100,0)-SUMPRODUCT($C14:E14,$C$3:E$3)*100)/(F$3*100)))</f>
        <v/>
      </c>
      <c r="G14" s="8">
        <f>IF($B14="","",INT((ROUND($B14*100,0)-SUMPRODUCT($C14:F14,$C$3:F$3)*100)/(G$3*100)))</f>
        <v/>
      </c>
      <c r="H14" s="8">
        <f>IF($B14="","",INT((ROUND($B14*100,0)-SUMPRODUCT($C14:G14,$C$3:G$3)*100)/(H$3*100)))</f>
        <v/>
      </c>
      <c r="I14" s="8">
        <f>IF($B14="","",INT((ROUND($B14*100,0)-SUMPRODUCT($C14:H14,$C$3:H$3)*100)/(I$3*100)))</f>
        <v/>
      </c>
      <c r="J14" s="8">
        <f>IF($B14="","",INT((ROUND($B14*100,0)-SUMPRODUCT($C14:I14,$C$3:I$3)*100)/(J$3*100)))</f>
        <v/>
      </c>
      <c r="K14" s="8">
        <f>IF($B14="","",INT((ROUND($B14*100,0)-SUMPRODUCT($C14:J14,$C$3:J$3)*100)/(K$3*100)))</f>
        <v/>
      </c>
    </row>
    <row r="15">
      <c r="A15" s="6" t="n"/>
      <c r="B15" s="7" t="n"/>
      <c r="C15" s="8">
        <f>IF($B15="","",INT(ROUND($B15*100,0)/(C$3*100)))</f>
        <v/>
      </c>
      <c r="D15" s="8">
        <f>IF($B15="","",INT((ROUND($B15*100,0)-SUMPRODUCT($C15:C15,$C$3:C$3)*100)/(D$3*100)))</f>
        <v/>
      </c>
      <c r="E15" s="8">
        <f>IF($B15="","",INT((ROUND($B15*100,0)-SUMPRODUCT($C15:D15,$C$3:D$3)*100)/(E$3*100)))</f>
        <v/>
      </c>
      <c r="F15" s="8">
        <f>IF($B15="","",INT((ROUND($B15*100,0)-SUMPRODUCT($C15:E15,$C$3:E$3)*100)/(F$3*100)))</f>
        <v/>
      </c>
      <c r="G15" s="8">
        <f>IF($B15="","",INT((ROUND($B15*100,0)-SUMPRODUCT($C15:F15,$C$3:F$3)*100)/(G$3*100)))</f>
        <v/>
      </c>
      <c r="H15" s="8">
        <f>IF($B15="","",INT((ROUND($B15*100,0)-SUMPRODUCT($C15:G15,$C$3:G$3)*100)/(H$3*100)))</f>
        <v/>
      </c>
      <c r="I15" s="8">
        <f>IF($B15="","",INT((ROUND($B15*100,0)-SUMPRODUCT($C15:H15,$C$3:H$3)*100)/(I$3*100)))</f>
        <v/>
      </c>
      <c r="J15" s="8">
        <f>IF($B15="","",INT((ROUND($B15*100,0)-SUMPRODUCT($C15:I15,$C$3:I$3)*100)/(J$3*100)))</f>
        <v/>
      </c>
      <c r="K15" s="8">
        <f>IF($B15="","",INT((ROUND($B15*100,0)-SUMPRODUCT($C15:J15,$C$3:J$3)*100)/(K$3*100)))</f>
        <v/>
      </c>
    </row>
    <row r="16">
      <c r="A16" s="6" t="n"/>
      <c r="B16" s="7" t="n"/>
      <c r="C16" s="8">
        <f>IF($B16="","",INT(ROUND($B16*100,0)/(C$3*100)))</f>
        <v/>
      </c>
      <c r="D16" s="8">
        <f>IF($B16="","",INT((ROUND($B16*100,0)-SUMPRODUCT($C16:C16,$C$3:C$3)*100)/(D$3*100)))</f>
        <v/>
      </c>
      <c r="E16" s="8">
        <f>IF($B16="","",INT((ROUND($B16*100,0)-SUMPRODUCT($C16:D16,$C$3:D$3)*100)/(E$3*100)))</f>
        <v/>
      </c>
      <c r="F16" s="8">
        <f>IF($B16="","",INT((ROUND($B16*100,0)-SUMPRODUCT($C16:E16,$C$3:E$3)*100)/(F$3*100)))</f>
        <v/>
      </c>
      <c r="G16" s="8">
        <f>IF($B16="","",INT((ROUND($B16*100,0)-SUMPRODUCT($C16:F16,$C$3:F$3)*100)/(G$3*100)))</f>
        <v/>
      </c>
      <c r="H16" s="8">
        <f>IF($B16="","",INT((ROUND($B16*100,0)-SUMPRODUCT($C16:G16,$C$3:G$3)*100)/(H$3*100)))</f>
        <v/>
      </c>
      <c r="I16" s="8">
        <f>IF($B16="","",INT((ROUND($B16*100,0)-SUMPRODUCT($C16:H16,$C$3:H$3)*100)/(I$3*100)))</f>
        <v/>
      </c>
      <c r="J16" s="8">
        <f>IF($B16="","",INT((ROUND($B16*100,0)-SUMPRODUCT($C16:I16,$C$3:I$3)*100)/(J$3*100)))</f>
        <v/>
      </c>
      <c r="K16" s="8">
        <f>IF($B16="","",INT((ROUND($B16*100,0)-SUMPRODUCT($C16:J16,$C$3:J$3)*100)/(K$3*100)))</f>
        <v/>
      </c>
    </row>
    <row r="17">
      <c r="A17" s="6" t="n"/>
      <c r="B17" s="7" t="n"/>
      <c r="C17" s="8">
        <f>IF($B17="","",INT(ROUND($B17*100,0)/(C$3*100)))</f>
        <v/>
      </c>
      <c r="D17" s="8">
        <f>IF($B17="","",INT((ROUND($B17*100,0)-SUMPRODUCT($C17:C17,$C$3:C$3)*100)/(D$3*100)))</f>
        <v/>
      </c>
      <c r="E17" s="8">
        <f>IF($B17="","",INT((ROUND($B17*100,0)-SUMPRODUCT($C17:D17,$C$3:D$3)*100)/(E$3*100)))</f>
        <v/>
      </c>
      <c r="F17" s="8">
        <f>IF($B17="","",INT((ROUND($B17*100,0)-SUMPRODUCT($C17:E17,$C$3:E$3)*100)/(F$3*100)))</f>
        <v/>
      </c>
      <c r="G17" s="8">
        <f>IF($B17="","",INT((ROUND($B17*100,0)-SUMPRODUCT($C17:F17,$C$3:F$3)*100)/(G$3*100)))</f>
        <v/>
      </c>
      <c r="H17" s="8">
        <f>IF($B17="","",INT((ROUND($B17*100,0)-SUMPRODUCT($C17:G17,$C$3:G$3)*100)/(H$3*100)))</f>
        <v/>
      </c>
      <c r="I17" s="8">
        <f>IF($B17="","",INT((ROUND($B17*100,0)-SUMPRODUCT($C17:H17,$C$3:H$3)*100)/(I$3*100)))</f>
        <v/>
      </c>
      <c r="J17" s="8">
        <f>IF($B17="","",INT((ROUND($B17*100,0)-SUMPRODUCT($C17:I17,$C$3:I$3)*100)/(J$3*100)))</f>
        <v/>
      </c>
      <c r="K17" s="8">
        <f>IF($B17="","",INT((ROUND($B17*100,0)-SUMPRODUCT($C17:J17,$C$3:J$3)*100)/(K$3*100)))</f>
        <v/>
      </c>
    </row>
    <row r="18">
      <c r="A18" s="6" t="n"/>
      <c r="B18" s="7" t="n"/>
      <c r="C18" s="8">
        <f>IF($B18="","",INT(ROUND($B18*100,0)/(C$3*100)))</f>
        <v/>
      </c>
      <c r="D18" s="8">
        <f>IF($B18="","",INT((ROUND($B18*100,0)-SUMPRODUCT($C18:C18,$C$3:C$3)*100)/(D$3*100)))</f>
        <v/>
      </c>
      <c r="E18" s="8">
        <f>IF($B18="","",INT((ROUND($B18*100,0)-SUMPRODUCT($C18:D18,$C$3:D$3)*100)/(E$3*100)))</f>
        <v/>
      </c>
      <c r="F18" s="8">
        <f>IF($B18="","",INT((ROUND($B18*100,0)-SUMPRODUCT($C18:E18,$C$3:E$3)*100)/(F$3*100)))</f>
        <v/>
      </c>
      <c r="G18" s="8">
        <f>IF($B18="","",INT((ROUND($B18*100,0)-SUMPRODUCT($C18:F18,$C$3:F$3)*100)/(G$3*100)))</f>
        <v/>
      </c>
      <c r="H18" s="8">
        <f>IF($B18="","",INT((ROUND($B18*100,0)-SUMPRODUCT($C18:G18,$C$3:G$3)*100)/(H$3*100)))</f>
        <v/>
      </c>
      <c r="I18" s="8">
        <f>IF($B18="","",INT((ROUND($B18*100,0)-SUMPRODUCT($C18:H18,$C$3:H$3)*100)/(I$3*100)))</f>
        <v/>
      </c>
      <c r="J18" s="8">
        <f>IF($B18="","",INT((ROUND($B18*100,0)-SUMPRODUCT($C18:I18,$C$3:I$3)*100)/(J$3*100)))</f>
        <v/>
      </c>
      <c r="K18" s="8">
        <f>IF($B18="","",INT((ROUND($B18*100,0)-SUMPRODUCT($C18:J18,$C$3:J$3)*100)/(K$3*100)))</f>
        <v/>
      </c>
    </row>
    <row r="19">
      <c r="A19" s="6" t="n"/>
      <c r="B19" s="7" t="n"/>
      <c r="C19" s="8">
        <f>IF($B19="","",INT(ROUND($B19*100,0)/(C$3*100)))</f>
        <v/>
      </c>
      <c r="D19" s="8">
        <f>IF($B19="","",INT((ROUND($B19*100,0)-SUMPRODUCT($C19:C19,$C$3:C$3)*100)/(D$3*100)))</f>
        <v/>
      </c>
      <c r="E19" s="8">
        <f>IF($B19="","",INT((ROUND($B19*100,0)-SUMPRODUCT($C19:D19,$C$3:D$3)*100)/(E$3*100)))</f>
        <v/>
      </c>
      <c r="F19" s="8">
        <f>IF($B19="","",INT((ROUND($B19*100,0)-SUMPRODUCT($C19:E19,$C$3:E$3)*100)/(F$3*100)))</f>
        <v/>
      </c>
      <c r="G19" s="8">
        <f>IF($B19="","",INT((ROUND($B19*100,0)-SUMPRODUCT($C19:F19,$C$3:F$3)*100)/(G$3*100)))</f>
        <v/>
      </c>
      <c r="H19" s="8">
        <f>IF($B19="","",INT((ROUND($B19*100,0)-SUMPRODUCT($C19:G19,$C$3:G$3)*100)/(H$3*100)))</f>
        <v/>
      </c>
      <c r="I19" s="8">
        <f>IF($B19="","",INT((ROUND($B19*100,0)-SUMPRODUCT($C19:H19,$C$3:H$3)*100)/(I$3*100)))</f>
        <v/>
      </c>
      <c r="J19" s="8">
        <f>IF($B19="","",INT((ROUND($B19*100,0)-SUMPRODUCT($C19:I19,$C$3:I$3)*100)/(J$3*100)))</f>
        <v/>
      </c>
      <c r="K19" s="8">
        <f>IF($B19="","",INT((ROUND($B19*100,0)-SUMPRODUCT($C19:J19,$C$3:J$3)*100)/(K$3*100)))</f>
        <v/>
      </c>
    </row>
    <row r="20">
      <c r="A20" s="6" t="n"/>
      <c r="B20" s="7" t="n"/>
      <c r="C20" s="8">
        <f>IF($B20="","",INT(ROUND($B20*100,0)/(C$3*100)))</f>
        <v/>
      </c>
      <c r="D20" s="8">
        <f>IF($B20="","",INT((ROUND($B20*100,0)-SUMPRODUCT($C20:C20,$C$3:C$3)*100)/(D$3*100)))</f>
        <v/>
      </c>
      <c r="E20" s="8">
        <f>IF($B20="","",INT((ROUND($B20*100,0)-SUMPRODUCT($C20:D20,$C$3:D$3)*100)/(E$3*100)))</f>
        <v/>
      </c>
      <c r="F20" s="8">
        <f>IF($B20="","",INT((ROUND($B20*100,0)-SUMPRODUCT($C20:E20,$C$3:E$3)*100)/(F$3*100)))</f>
        <v/>
      </c>
      <c r="G20" s="8">
        <f>IF($B20="","",INT((ROUND($B20*100,0)-SUMPRODUCT($C20:F20,$C$3:F$3)*100)/(G$3*100)))</f>
        <v/>
      </c>
      <c r="H20" s="8">
        <f>IF($B20="","",INT((ROUND($B20*100,0)-SUMPRODUCT($C20:G20,$C$3:G$3)*100)/(H$3*100)))</f>
        <v/>
      </c>
      <c r="I20" s="8">
        <f>IF($B20="","",INT((ROUND($B20*100,0)-SUMPRODUCT($C20:H20,$C$3:H$3)*100)/(I$3*100)))</f>
        <v/>
      </c>
      <c r="J20" s="8">
        <f>IF($B20="","",INT((ROUND($B20*100,0)-SUMPRODUCT($C20:I20,$C$3:I$3)*100)/(J$3*100)))</f>
        <v/>
      </c>
      <c r="K20" s="8">
        <f>IF($B20="","",INT((ROUND($B20*100,0)-SUMPRODUCT($C20:J20,$C$3:J$3)*100)/(K$3*100)))</f>
        <v/>
      </c>
    </row>
    <row r="21">
      <c r="A21" s="6" t="n"/>
      <c r="B21" s="7" t="n"/>
      <c r="C21" s="8">
        <f>IF($B21="","",INT(ROUND($B21*100,0)/(C$3*100)))</f>
        <v/>
      </c>
      <c r="D21" s="8">
        <f>IF($B21="","",INT((ROUND($B21*100,0)-SUMPRODUCT($C21:C21,$C$3:C$3)*100)/(D$3*100)))</f>
        <v/>
      </c>
      <c r="E21" s="8">
        <f>IF($B21="","",INT((ROUND($B21*100,0)-SUMPRODUCT($C21:D21,$C$3:D$3)*100)/(E$3*100)))</f>
        <v/>
      </c>
      <c r="F21" s="8">
        <f>IF($B21="","",INT((ROUND($B21*100,0)-SUMPRODUCT($C21:E21,$C$3:E$3)*100)/(F$3*100)))</f>
        <v/>
      </c>
      <c r="G21" s="8">
        <f>IF($B21="","",INT((ROUND($B21*100,0)-SUMPRODUCT($C21:F21,$C$3:F$3)*100)/(G$3*100)))</f>
        <v/>
      </c>
      <c r="H21" s="8">
        <f>IF($B21="","",INT((ROUND($B21*100,0)-SUMPRODUCT($C21:G21,$C$3:G$3)*100)/(H$3*100)))</f>
        <v/>
      </c>
      <c r="I21" s="8">
        <f>IF($B21="","",INT((ROUND($B21*100,0)-SUMPRODUCT($C21:H21,$C$3:H$3)*100)/(I$3*100)))</f>
        <v/>
      </c>
      <c r="J21" s="8">
        <f>IF($B21="","",INT((ROUND($B21*100,0)-SUMPRODUCT($C21:I21,$C$3:I$3)*100)/(J$3*100)))</f>
        <v/>
      </c>
      <c r="K21" s="8">
        <f>IF($B21="","",INT((ROUND($B21*100,0)-SUMPRODUCT($C21:J21,$C$3:J$3)*100)/(K$3*100)))</f>
        <v/>
      </c>
    </row>
    <row r="22">
      <c r="A22" s="6" t="n"/>
      <c r="B22" s="7" t="n"/>
      <c r="C22" s="8">
        <f>IF($B22="","",INT(ROUND($B22*100,0)/(C$3*100)))</f>
        <v/>
      </c>
      <c r="D22" s="8">
        <f>IF($B22="","",INT((ROUND($B22*100,0)-SUMPRODUCT($C22:C22,$C$3:C$3)*100)/(D$3*100)))</f>
        <v/>
      </c>
      <c r="E22" s="8">
        <f>IF($B22="","",INT((ROUND($B22*100,0)-SUMPRODUCT($C22:D22,$C$3:D$3)*100)/(E$3*100)))</f>
        <v/>
      </c>
      <c r="F22" s="8">
        <f>IF($B22="","",INT((ROUND($B22*100,0)-SUMPRODUCT($C22:E22,$C$3:E$3)*100)/(F$3*100)))</f>
        <v/>
      </c>
      <c r="G22" s="8">
        <f>IF($B22="","",INT((ROUND($B22*100,0)-SUMPRODUCT($C22:F22,$C$3:F$3)*100)/(G$3*100)))</f>
        <v/>
      </c>
      <c r="H22" s="8">
        <f>IF($B22="","",INT((ROUND($B22*100,0)-SUMPRODUCT($C22:G22,$C$3:G$3)*100)/(H$3*100)))</f>
        <v/>
      </c>
      <c r="I22" s="8">
        <f>IF($B22="","",INT((ROUND($B22*100,0)-SUMPRODUCT($C22:H22,$C$3:H$3)*100)/(I$3*100)))</f>
        <v/>
      </c>
      <c r="J22" s="8">
        <f>IF($B22="","",INT((ROUND($B22*100,0)-SUMPRODUCT($C22:I22,$C$3:I$3)*100)/(J$3*100)))</f>
        <v/>
      </c>
      <c r="K22" s="8">
        <f>IF($B22="","",INT((ROUND($B22*100,0)-SUMPRODUCT($C22:J22,$C$3:J$3)*100)/(K$3*100)))</f>
        <v/>
      </c>
    </row>
    <row r="23">
      <c r="A23" s="6" t="n"/>
      <c r="B23" s="7" t="n"/>
      <c r="C23" s="8">
        <f>IF($B23="","",INT(ROUND($B23*100,0)/(C$3*100)))</f>
        <v/>
      </c>
      <c r="D23" s="8">
        <f>IF($B23="","",INT((ROUND($B23*100,0)-SUMPRODUCT($C23:C23,$C$3:C$3)*100)/(D$3*100)))</f>
        <v/>
      </c>
      <c r="E23" s="8">
        <f>IF($B23="","",INT((ROUND($B23*100,0)-SUMPRODUCT($C23:D23,$C$3:D$3)*100)/(E$3*100)))</f>
        <v/>
      </c>
      <c r="F23" s="8">
        <f>IF($B23="","",INT((ROUND($B23*100,0)-SUMPRODUCT($C23:E23,$C$3:E$3)*100)/(F$3*100)))</f>
        <v/>
      </c>
      <c r="G23" s="8">
        <f>IF($B23="","",INT((ROUND($B23*100,0)-SUMPRODUCT($C23:F23,$C$3:F$3)*100)/(G$3*100)))</f>
        <v/>
      </c>
      <c r="H23" s="8">
        <f>IF($B23="","",INT((ROUND($B23*100,0)-SUMPRODUCT($C23:G23,$C$3:G$3)*100)/(H$3*100)))</f>
        <v/>
      </c>
      <c r="I23" s="8">
        <f>IF($B23="","",INT((ROUND($B23*100,0)-SUMPRODUCT($C23:H23,$C$3:H$3)*100)/(I$3*100)))</f>
        <v/>
      </c>
      <c r="J23" s="8">
        <f>IF($B23="","",INT((ROUND($B23*100,0)-SUMPRODUCT($C23:I23,$C$3:I$3)*100)/(J$3*100)))</f>
        <v/>
      </c>
      <c r="K23" s="8">
        <f>IF($B23="","",INT((ROUND($B23*100,0)-SUMPRODUCT($C23:J23,$C$3:J$3)*100)/(K$3*100)))</f>
        <v/>
      </c>
    </row>
    <row r="24">
      <c r="A24" s="6" t="n"/>
      <c r="B24" s="7" t="n"/>
      <c r="C24" s="8">
        <f>IF($B24="","",INT(ROUND($B24*100,0)/(C$3*100)))</f>
        <v/>
      </c>
      <c r="D24" s="8">
        <f>IF($B24="","",INT((ROUND($B24*100,0)-SUMPRODUCT($C24:C24,$C$3:C$3)*100)/(D$3*100)))</f>
        <v/>
      </c>
      <c r="E24" s="8">
        <f>IF($B24="","",INT((ROUND($B24*100,0)-SUMPRODUCT($C24:D24,$C$3:D$3)*100)/(E$3*100)))</f>
        <v/>
      </c>
      <c r="F24" s="8">
        <f>IF($B24="","",INT((ROUND($B24*100,0)-SUMPRODUCT($C24:E24,$C$3:E$3)*100)/(F$3*100)))</f>
        <v/>
      </c>
      <c r="G24" s="8">
        <f>IF($B24="","",INT((ROUND($B24*100,0)-SUMPRODUCT($C24:F24,$C$3:F$3)*100)/(G$3*100)))</f>
        <v/>
      </c>
      <c r="H24" s="8">
        <f>IF($B24="","",INT((ROUND($B24*100,0)-SUMPRODUCT($C24:G24,$C$3:G$3)*100)/(H$3*100)))</f>
        <v/>
      </c>
      <c r="I24" s="8">
        <f>IF($B24="","",INT((ROUND($B24*100,0)-SUMPRODUCT($C24:H24,$C$3:H$3)*100)/(I$3*100)))</f>
        <v/>
      </c>
      <c r="J24" s="8">
        <f>IF($B24="","",INT((ROUND($B24*100,0)-SUMPRODUCT($C24:I24,$C$3:I$3)*100)/(J$3*100)))</f>
        <v/>
      </c>
      <c r="K24" s="8">
        <f>IF($B24="","",INT((ROUND($B24*100,0)-SUMPRODUCT($C24:J24,$C$3:J$3)*100)/(K$3*100)))</f>
        <v/>
      </c>
    </row>
    <row r="25">
      <c r="A25" s="6" t="n"/>
      <c r="B25" s="7" t="n"/>
      <c r="C25" s="8">
        <f>IF($B25="","",INT(ROUND($B25*100,0)/(C$3*100)))</f>
        <v/>
      </c>
      <c r="D25" s="8">
        <f>IF($B25="","",INT((ROUND($B25*100,0)-SUMPRODUCT($C25:C25,$C$3:C$3)*100)/(D$3*100)))</f>
        <v/>
      </c>
      <c r="E25" s="8">
        <f>IF($B25="","",INT((ROUND($B25*100,0)-SUMPRODUCT($C25:D25,$C$3:D$3)*100)/(E$3*100)))</f>
        <v/>
      </c>
      <c r="F25" s="8">
        <f>IF($B25="","",INT((ROUND($B25*100,0)-SUMPRODUCT($C25:E25,$C$3:E$3)*100)/(F$3*100)))</f>
        <v/>
      </c>
      <c r="G25" s="8">
        <f>IF($B25="","",INT((ROUND($B25*100,0)-SUMPRODUCT($C25:F25,$C$3:F$3)*100)/(G$3*100)))</f>
        <v/>
      </c>
      <c r="H25" s="8">
        <f>IF($B25="","",INT((ROUND($B25*100,0)-SUMPRODUCT($C25:G25,$C$3:G$3)*100)/(H$3*100)))</f>
        <v/>
      </c>
      <c r="I25" s="8">
        <f>IF($B25="","",INT((ROUND($B25*100,0)-SUMPRODUCT($C25:H25,$C$3:H$3)*100)/(I$3*100)))</f>
        <v/>
      </c>
      <c r="J25" s="8">
        <f>IF($B25="","",INT((ROUND($B25*100,0)-SUMPRODUCT($C25:I25,$C$3:I$3)*100)/(J$3*100)))</f>
        <v/>
      </c>
      <c r="K25" s="8">
        <f>IF($B25="","",INT((ROUND($B25*100,0)-SUMPRODUCT($C25:J25,$C$3:J$3)*100)/(K$3*100)))</f>
        <v/>
      </c>
    </row>
    <row r="26">
      <c r="A26" s="6" t="n"/>
      <c r="B26" s="7" t="n"/>
      <c r="C26" s="8">
        <f>IF($B26="","",INT(ROUND($B26*100,0)/(C$3*100)))</f>
        <v/>
      </c>
      <c r="D26" s="8">
        <f>IF($B26="","",INT((ROUND($B26*100,0)-SUMPRODUCT($C26:C26,$C$3:C$3)*100)/(D$3*100)))</f>
        <v/>
      </c>
      <c r="E26" s="8">
        <f>IF($B26="","",INT((ROUND($B26*100,0)-SUMPRODUCT($C26:D26,$C$3:D$3)*100)/(E$3*100)))</f>
        <v/>
      </c>
      <c r="F26" s="8">
        <f>IF($B26="","",INT((ROUND($B26*100,0)-SUMPRODUCT($C26:E26,$C$3:E$3)*100)/(F$3*100)))</f>
        <v/>
      </c>
      <c r="G26" s="8">
        <f>IF($B26="","",INT((ROUND($B26*100,0)-SUMPRODUCT($C26:F26,$C$3:F$3)*100)/(G$3*100)))</f>
        <v/>
      </c>
      <c r="H26" s="8">
        <f>IF($B26="","",INT((ROUND($B26*100,0)-SUMPRODUCT($C26:G26,$C$3:G$3)*100)/(H$3*100)))</f>
        <v/>
      </c>
      <c r="I26" s="8">
        <f>IF($B26="","",INT((ROUND($B26*100,0)-SUMPRODUCT($C26:H26,$C$3:H$3)*100)/(I$3*100)))</f>
        <v/>
      </c>
      <c r="J26" s="8">
        <f>IF($B26="","",INT((ROUND($B26*100,0)-SUMPRODUCT($C26:I26,$C$3:I$3)*100)/(J$3*100)))</f>
        <v/>
      </c>
      <c r="K26" s="8">
        <f>IF($B26="","",INT((ROUND($B26*100,0)-SUMPRODUCT($C26:J26,$C$3:J$3)*100)/(K$3*100)))</f>
        <v/>
      </c>
    </row>
    <row r="27">
      <c r="A27" s="6" t="n"/>
      <c r="B27" s="7" t="n"/>
      <c r="C27" s="8">
        <f>IF($B27="","",INT(ROUND($B27*100,0)/(C$3*100)))</f>
        <v/>
      </c>
      <c r="D27" s="8">
        <f>IF($B27="","",INT((ROUND($B27*100,0)-SUMPRODUCT($C27:C27,$C$3:C$3)*100)/(D$3*100)))</f>
        <v/>
      </c>
      <c r="E27" s="8">
        <f>IF($B27="","",INT((ROUND($B27*100,0)-SUMPRODUCT($C27:D27,$C$3:D$3)*100)/(E$3*100)))</f>
        <v/>
      </c>
      <c r="F27" s="8">
        <f>IF($B27="","",INT((ROUND($B27*100,0)-SUMPRODUCT($C27:E27,$C$3:E$3)*100)/(F$3*100)))</f>
        <v/>
      </c>
      <c r="G27" s="8">
        <f>IF($B27="","",INT((ROUND($B27*100,0)-SUMPRODUCT($C27:F27,$C$3:F$3)*100)/(G$3*100)))</f>
        <v/>
      </c>
      <c r="H27" s="8">
        <f>IF($B27="","",INT((ROUND($B27*100,0)-SUMPRODUCT($C27:G27,$C$3:G$3)*100)/(H$3*100)))</f>
        <v/>
      </c>
      <c r="I27" s="8">
        <f>IF($B27="","",INT((ROUND($B27*100,0)-SUMPRODUCT($C27:H27,$C$3:H$3)*100)/(I$3*100)))</f>
        <v/>
      </c>
      <c r="J27" s="8">
        <f>IF($B27="","",INT((ROUND($B27*100,0)-SUMPRODUCT($C27:I27,$C$3:I$3)*100)/(J$3*100)))</f>
        <v/>
      </c>
      <c r="K27" s="8">
        <f>IF($B27="","",INT((ROUND($B27*100,0)-SUMPRODUCT($C27:J27,$C$3:J$3)*100)/(K$3*100)))</f>
        <v/>
      </c>
    </row>
    <row r="28">
      <c r="A28" s="6" t="n"/>
      <c r="B28" s="7" t="n"/>
      <c r="C28" s="8">
        <f>IF($B28="","",INT(ROUND($B28*100,0)/(C$3*100)))</f>
        <v/>
      </c>
      <c r="D28" s="8">
        <f>IF($B28="","",INT((ROUND($B28*100,0)-SUMPRODUCT($C28:C28,$C$3:C$3)*100)/(D$3*100)))</f>
        <v/>
      </c>
      <c r="E28" s="8">
        <f>IF($B28="","",INT((ROUND($B28*100,0)-SUMPRODUCT($C28:D28,$C$3:D$3)*100)/(E$3*100)))</f>
        <v/>
      </c>
      <c r="F28" s="8">
        <f>IF($B28="","",INT((ROUND($B28*100,0)-SUMPRODUCT($C28:E28,$C$3:E$3)*100)/(F$3*100)))</f>
        <v/>
      </c>
      <c r="G28" s="8">
        <f>IF($B28="","",INT((ROUND($B28*100,0)-SUMPRODUCT($C28:F28,$C$3:F$3)*100)/(G$3*100)))</f>
        <v/>
      </c>
      <c r="H28" s="8">
        <f>IF($B28="","",INT((ROUND($B28*100,0)-SUMPRODUCT($C28:G28,$C$3:G$3)*100)/(H$3*100)))</f>
        <v/>
      </c>
      <c r="I28" s="8">
        <f>IF($B28="","",INT((ROUND($B28*100,0)-SUMPRODUCT($C28:H28,$C$3:H$3)*100)/(I$3*100)))</f>
        <v/>
      </c>
      <c r="J28" s="8">
        <f>IF($B28="","",INT((ROUND($B28*100,0)-SUMPRODUCT($C28:I28,$C$3:I$3)*100)/(J$3*100)))</f>
        <v/>
      </c>
      <c r="K28" s="8">
        <f>IF($B28="","",INT((ROUND($B28*100,0)-SUMPRODUCT($C28:J28,$C$3:J$3)*100)/(K$3*100)))</f>
        <v/>
      </c>
    </row>
    <row r="29">
      <c r="A29" s="6" t="n"/>
      <c r="B29" s="7" t="n"/>
      <c r="C29" s="8">
        <f>IF($B29="","",INT(ROUND($B29*100,0)/(C$3*100)))</f>
        <v/>
      </c>
      <c r="D29" s="8">
        <f>IF($B29="","",INT((ROUND($B29*100,0)-SUMPRODUCT($C29:C29,$C$3:C$3)*100)/(D$3*100)))</f>
        <v/>
      </c>
      <c r="E29" s="8">
        <f>IF($B29="","",INT((ROUND($B29*100,0)-SUMPRODUCT($C29:D29,$C$3:D$3)*100)/(E$3*100)))</f>
        <v/>
      </c>
      <c r="F29" s="8">
        <f>IF($B29="","",INT((ROUND($B29*100,0)-SUMPRODUCT($C29:E29,$C$3:E$3)*100)/(F$3*100)))</f>
        <v/>
      </c>
      <c r="G29" s="8">
        <f>IF($B29="","",INT((ROUND($B29*100,0)-SUMPRODUCT($C29:F29,$C$3:F$3)*100)/(G$3*100)))</f>
        <v/>
      </c>
      <c r="H29" s="8">
        <f>IF($B29="","",INT((ROUND($B29*100,0)-SUMPRODUCT($C29:G29,$C$3:G$3)*100)/(H$3*100)))</f>
        <v/>
      </c>
      <c r="I29" s="8">
        <f>IF($B29="","",INT((ROUND($B29*100,0)-SUMPRODUCT($C29:H29,$C$3:H$3)*100)/(I$3*100)))</f>
        <v/>
      </c>
      <c r="J29" s="8">
        <f>IF($B29="","",INT((ROUND($B29*100,0)-SUMPRODUCT($C29:I29,$C$3:I$3)*100)/(J$3*100)))</f>
        <v/>
      </c>
      <c r="K29" s="8">
        <f>IF($B29="","",INT((ROUND($B29*100,0)-SUMPRODUCT($C29:J29,$C$3:J$3)*100)/(K$3*100)))</f>
        <v/>
      </c>
    </row>
    <row r="30">
      <c r="A30" s="6" t="n"/>
      <c r="B30" s="7" t="n"/>
      <c r="C30" s="8">
        <f>IF($B30="","",INT(ROUND($B30*100,0)/(C$3*100)))</f>
        <v/>
      </c>
      <c r="D30" s="8">
        <f>IF($B30="","",INT((ROUND($B30*100,0)-SUMPRODUCT($C30:C30,$C$3:C$3)*100)/(D$3*100)))</f>
        <v/>
      </c>
      <c r="E30" s="8">
        <f>IF($B30="","",INT((ROUND($B30*100,0)-SUMPRODUCT($C30:D30,$C$3:D$3)*100)/(E$3*100)))</f>
        <v/>
      </c>
      <c r="F30" s="8">
        <f>IF($B30="","",INT((ROUND($B30*100,0)-SUMPRODUCT($C30:E30,$C$3:E$3)*100)/(F$3*100)))</f>
        <v/>
      </c>
      <c r="G30" s="8">
        <f>IF($B30="","",INT((ROUND($B30*100,0)-SUMPRODUCT($C30:F30,$C$3:F$3)*100)/(G$3*100)))</f>
        <v/>
      </c>
      <c r="H30" s="8">
        <f>IF($B30="","",INT((ROUND($B30*100,0)-SUMPRODUCT($C30:G30,$C$3:G$3)*100)/(H$3*100)))</f>
        <v/>
      </c>
      <c r="I30" s="8">
        <f>IF($B30="","",INT((ROUND($B30*100,0)-SUMPRODUCT($C30:H30,$C$3:H$3)*100)/(I$3*100)))</f>
        <v/>
      </c>
      <c r="J30" s="8">
        <f>IF($B30="","",INT((ROUND($B30*100,0)-SUMPRODUCT($C30:I30,$C$3:I$3)*100)/(J$3*100)))</f>
        <v/>
      </c>
      <c r="K30" s="8">
        <f>IF($B30="","",INT((ROUND($B30*100,0)-SUMPRODUCT($C30:J30,$C$3:J$3)*100)/(K$3*100)))</f>
        <v/>
      </c>
    </row>
    <row r="31">
      <c r="A31" s="6" t="n"/>
      <c r="B31" s="7" t="n"/>
      <c r="C31" s="8">
        <f>IF($B31="","",INT(ROUND($B31*100,0)/(C$3*100)))</f>
        <v/>
      </c>
      <c r="D31" s="8">
        <f>IF($B31="","",INT((ROUND($B31*100,0)-SUMPRODUCT($C31:C31,$C$3:C$3)*100)/(D$3*100)))</f>
        <v/>
      </c>
      <c r="E31" s="8">
        <f>IF($B31="","",INT((ROUND($B31*100,0)-SUMPRODUCT($C31:D31,$C$3:D$3)*100)/(E$3*100)))</f>
        <v/>
      </c>
      <c r="F31" s="8">
        <f>IF($B31="","",INT((ROUND($B31*100,0)-SUMPRODUCT($C31:E31,$C$3:E$3)*100)/(F$3*100)))</f>
        <v/>
      </c>
      <c r="G31" s="8">
        <f>IF($B31="","",INT((ROUND($B31*100,0)-SUMPRODUCT($C31:F31,$C$3:F$3)*100)/(G$3*100)))</f>
        <v/>
      </c>
      <c r="H31" s="8">
        <f>IF($B31="","",INT((ROUND($B31*100,0)-SUMPRODUCT($C31:G31,$C$3:G$3)*100)/(H$3*100)))</f>
        <v/>
      </c>
      <c r="I31" s="8">
        <f>IF($B31="","",INT((ROUND($B31*100,0)-SUMPRODUCT($C31:H31,$C$3:H$3)*100)/(I$3*100)))</f>
        <v/>
      </c>
      <c r="J31" s="8">
        <f>IF($B31="","",INT((ROUND($B31*100,0)-SUMPRODUCT($C31:I31,$C$3:I$3)*100)/(J$3*100)))</f>
        <v/>
      </c>
      <c r="K31" s="8">
        <f>IF($B31="","",INT((ROUND($B31*100,0)-SUMPRODUCT($C31:J31,$C$3:J$3)*100)/(K$3*100)))</f>
        <v/>
      </c>
    </row>
    <row r="32">
      <c r="A32" s="6" t="n"/>
      <c r="B32" s="7" t="n"/>
      <c r="C32" s="8">
        <f>IF($B32="","",INT(ROUND($B32*100,0)/(C$3*100)))</f>
        <v/>
      </c>
      <c r="D32" s="8">
        <f>IF($B32="","",INT((ROUND($B32*100,0)-SUMPRODUCT($C32:C32,$C$3:C$3)*100)/(D$3*100)))</f>
        <v/>
      </c>
      <c r="E32" s="8">
        <f>IF($B32="","",INT((ROUND($B32*100,0)-SUMPRODUCT($C32:D32,$C$3:D$3)*100)/(E$3*100)))</f>
        <v/>
      </c>
      <c r="F32" s="8">
        <f>IF($B32="","",INT((ROUND($B32*100,0)-SUMPRODUCT($C32:E32,$C$3:E$3)*100)/(F$3*100)))</f>
        <v/>
      </c>
      <c r="G32" s="8">
        <f>IF($B32="","",INT((ROUND($B32*100,0)-SUMPRODUCT($C32:F32,$C$3:F$3)*100)/(G$3*100)))</f>
        <v/>
      </c>
      <c r="H32" s="8">
        <f>IF($B32="","",INT((ROUND($B32*100,0)-SUMPRODUCT($C32:G32,$C$3:G$3)*100)/(H$3*100)))</f>
        <v/>
      </c>
      <c r="I32" s="8">
        <f>IF($B32="","",INT((ROUND($B32*100,0)-SUMPRODUCT($C32:H32,$C$3:H$3)*100)/(I$3*100)))</f>
        <v/>
      </c>
      <c r="J32" s="8">
        <f>IF($B32="","",INT((ROUND($B32*100,0)-SUMPRODUCT($C32:I32,$C$3:I$3)*100)/(J$3*100)))</f>
        <v/>
      </c>
      <c r="K32" s="8">
        <f>IF($B32="","",INT((ROUND($B32*100,0)-SUMPRODUCT($C32:J32,$C$3:J$3)*100)/(K$3*100)))</f>
        <v/>
      </c>
    </row>
    <row r="33">
      <c r="A33" s="6" t="n"/>
      <c r="B33" s="7" t="n"/>
      <c r="C33" s="8">
        <f>IF($B33="","",INT(ROUND($B33*100,0)/(C$3*100)))</f>
        <v/>
      </c>
      <c r="D33" s="8">
        <f>IF($B33="","",INT((ROUND($B33*100,0)-SUMPRODUCT($C33:C33,$C$3:C$3)*100)/(D$3*100)))</f>
        <v/>
      </c>
      <c r="E33" s="8">
        <f>IF($B33="","",INT((ROUND($B33*100,0)-SUMPRODUCT($C33:D33,$C$3:D$3)*100)/(E$3*100)))</f>
        <v/>
      </c>
      <c r="F33" s="8">
        <f>IF($B33="","",INT((ROUND($B33*100,0)-SUMPRODUCT($C33:E33,$C$3:E$3)*100)/(F$3*100)))</f>
        <v/>
      </c>
      <c r="G33" s="8">
        <f>IF($B33="","",INT((ROUND($B33*100,0)-SUMPRODUCT($C33:F33,$C$3:F$3)*100)/(G$3*100)))</f>
        <v/>
      </c>
      <c r="H33" s="8">
        <f>IF($B33="","",INT((ROUND($B33*100,0)-SUMPRODUCT($C33:G33,$C$3:G$3)*100)/(H$3*100)))</f>
        <v/>
      </c>
      <c r="I33" s="8">
        <f>IF($B33="","",INT((ROUND($B33*100,0)-SUMPRODUCT($C33:H33,$C$3:H$3)*100)/(I$3*100)))</f>
        <v/>
      </c>
      <c r="J33" s="8">
        <f>IF($B33="","",INT((ROUND($B33*100,0)-SUMPRODUCT($C33:I33,$C$3:I$3)*100)/(J$3*100)))</f>
        <v/>
      </c>
      <c r="K33" s="8">
        <f>IF($B33="","",INT((ROUND($B33*100,0)-SUMPRODUCT($C33:J33,$C$3:J$3)*100)/(K$3*100)))</f>
        <v/>
      </c>
    </row>
    <row r="34">
      <c r="A34" s="6" t="n"/>
      <c r="B34" s="7" t="n"/>
      <c r="C34" s="8">
        <f>IF($B34="","",INT(ROUND($B34*100,0)/(C$3*100)))</f>
        <v/>
      </c>
      <c r="D34" s="8">
        <f>IF($B34="","",INT((ROUND($B34*100,0)-SUMPRODUCT($C34:C34,$C$3:C$3)*100)/(D$3*100)))</f>
        <v/>
      </c>
      <c r="E34" s="8">
        <f>IF($B34="","",INT((ROUND($B34*100,0)-SUMPRODUCT($C34:D34,$C$3:D$3)*100)/(E$3*100)))</f>
        <v/>
      </c>
      <c r="F34" s="8">
        <f>IF($B34="","",INT((ROUND($B34*100,0)-SUMPRODUCT($C34:E34,$C$3:E$3)*100)/(F$3*100)))</f>
        <v/>
      </c>
      <c r="G34" s="8">
        <f>IF($B34="","",INT((ROUND($B34*100,0)-SUMPRODUCT($C34:F34,$C$3:F$3)*100)/(G$3*100)))</f>
        <v/>
      </c>
      <c r="H34" s="8">
        <f>IF($B34="","",INT((ROUND($B34*100,0)-SUMPRODUCT($C34:G34,$C$3:G$3)*100)/(H$3*100)))</f>
        <v/>
      </c>
      <c r="I34" s="8">
        <f>IF($B34="","",INT((ROUND($B34*100,0)-SUMPRODUCT($C34:H34,$C$3:H$3)*100)/(I$3*100)))</f>
        <v/>
      </c>
      <c r="J34" s="8">
        <f>IF($B34="","",INT((ROUND($B34*100,0)-SUMPRODUCT($C34:I34,$C$3:I$3)*100)/(J$3*100)))</f>
        <v/>
      </c>
      <c r="K34" s="8">
        <f>IF($B34="","",INT((ROUND($B34*100,0)-SUMPRODUCT($C34:J34,$C$3:J$3)*100)/(K$3*100)))</f>
        <v/>
      </c>
    </row>
    <row r="35">
      <c r="A35" s="6" t="n"/>
      <c r="B35" s="7" t="n"/>
      <c r="C35" s="8">
        <f>IF($B35="","",INT(ROUND($B35*100,0)/(C$3*100)))</f>
        <v/>
      </c>
      <c r="D35" s="8">
        <f>IF($B35="","",INT((ROUND($B35*100,0)-SUMPRODUCT($C35:C35,$C$3:C$3)*100)/(D$3*100)))</f>
        <v/>
      </c>
      <c r="E35" s="8">
        <f>IF($B35="","",INT((ROUND($B35*100,0)-SUMPRODUCT($C35:D35,$C$3:D$3)*100)/(E$3*100)))</f>
        <v/>
      </c>
      <c r="F35" s="8">
        <f>IF($B35="","",INT((ROUND($B35*100,0)-SUMPRODUCT($C35:E35,$C$3:E$3)*100)/(F$3*100)))</f>
        <v/>
      </c>
      <c r="G35" s="8">
        <f>IF($B35="","",INT((ROUND($B35*100,0)-SUMPRODUCT($C35:F35,$C$3:F$3)*100)/(G$3*100)))</f>
        <v/>
      </c>
      <c r="H35" s="8">
        <f>IF($B35="","",INT((ROUND($B35*100,0)-SUMPRODUCT($C35:G35,$C$3:G$3)*100)/(H$3*100)))</f>
        <v/>
      </c>
      <c r="I35" s="8">
        <f>IF($B35="","",INT((ROUND($B35*100,0)-SUMPRODUCT($C35:H35,$C$3:H$3)*100)/(I$3*100)))</f>
        <v/>
      </c>
      <c r="J35" s="8">
        <f>IF($B35="","",INT((ROUND($B35*100,0)-SUMPRODUCT($C35:I35,$C$3:I$3)*100)/(J$3*100)))</f>
        <v/>
      </c>
      <c r="K35" s="8">
        <f>IF($B35="","",INT((ROUND($B35*100,0)-SUMPRODUCT($C35:J35,$C$3:J$3)*100)/(K$3*100)))</f>
        <v/>
      </c>
    </row>
    <row r="36">
      <c r="A36" s="6" t="n"/>
      <c r="B36" s="7" t="n"/>
      <c r="C36" s="8">
        <f>IF($B36="","",INT(ROUND($B36*100,0)/(C$3*100)))</f>
        <v/>
      </c>
      <c r="D36" s="8">
        <f>IF($B36="","",INT((ROUND($B36*100,0)-SUMPRODUCT($C36:C36,$C$3:C$3)*100)/(D$3*100)))</f>
        <v/>
      </c>
      <c r="E36" s="8">
        <f>IF($B36="","",INT((ROUND($B36*100,0)-SUMPRODUCT($C36:D36,$C$3:D$3)*100)/(E$3*100)))</f>
        <v/>
      </c>
      <c r="F36" s="8">
        <f>IF($B36="","",INT((ROUND($B36*100,0)-SUMPRODUCT($C36:E36,$C$3:E$3)*100)/(F$3*100)))</f>
        <v/>
      </c>
      <c r="G36" s="8">
        <f>IF($B36="","",INT((ROUND($B36*100,0)-SUMPRODUCT($C36:F36,$C$3:F$3)*100)/(G$3*100)))</f>
        <v/>
      </c>
      <c r="H36" s="8">
        <f>IF($B36="","",INT((ROUND($B36*100,0)-SUMPRODUCT($C36:G36,$C$3:G$3)*100)/(H$3*100)))</f>
        <v/>
      </c>
      <c r="I36" s="8">
        <f>IF($B36="","",INT((ROUND($B36*100,0)-SUMPRODUCT($C36:H36,$C$3:H$3)*100)/(I$3*100)))</f>
        <v/>
      </c>
      <c r="J36" s="8">
        <f>IF($B36="","",INT((ROUND($B36*100,0)-SUMPRODUCT($C36:I36,$C$3:I$3)*100)/(J$3*100)))</f>
        <v/>
      </c>
      <c r="K36" s="8">
        <f>IF($B36="","",INT((ROUND($B36*100,0)-SUMPRODUCT($C36:J36,$C$3:J$3)*100)/(K$3*100)))</f>
        <v/>
      </c>
    </row>
    <row r="37">
      <c r="A37" s="6" t="n"/>
      <c r="B37" s="7" t="n"/>
      <c r="C37" s="8">
        <f>IF($B37="","",INT(ROUND($B37*100,0)/(C$3*100)))</f>
        <v/>
      </c>
      <c r="D37" s="8">
        <f>IF($B37="","",INT((ROUND($B37*100,0)-SUMPRODUCT($C37:C37,$C$3:C$3)*100)/(D$3*100)))</f>
        <v/>
      </c>
      <c r="E37" s="8">
        <f>IF($B37="","",INT((ROUND($B37*100,0)-SUMPRODUCT($C37:D37,$C$3:D$3)*100)/(E$3*100)))</f>
        <v/>
      </c>
      <c r="F37" s="8">
        <f>IF($B37="","",INT((ROUND($B37*100,0)-SUMPRODUCT($C37:E37,$C$3:E$3)*100)/(F$3*100)))</f>
        <v/>
      </c>
      <c r="G37" s="8">
        <f>IF($B37="","",INT((ROUND($B37*100,0)-SUMPRODUCT($C37:F37,$C$3:F$3)*100)/(G$3*100)))</f>
        <v/>
      </c>
      <c r="H37" s="8">
        <f>IF($B37="","",INT((ROUND($B37*100,0)-SUMPRODUCT($C37:G37,$C$3:G$3)*100)/(H$3*100)))</f>
        <v/>
      </c>
      <c r="I37" s="8">
        <f>IF($B37="","",INT((ROUND($B37*100,0)-SUMPRODUCT($C37:H37,$C$3:H$3)*100)/(I$3*100)))</f>
        <v/>
      </c>
      <c r="J37" s="8">
        <f>IF($B37="","",INT((ROUND($B37*100,0)-SUMPRODUCT($C37:I37,$C$3:I$3)*100)/(J$3*100)))</f>
        <v/>
      </c>
      <c r="K37" s="8">
        <f>IF($B37="","",INT((ROUND($B37*100,0)-SUMPRODUCT($C37:J37,$C$3:J$3)*100)/(K$3*100)))</f>
        <v/>
      </c>
    </row>
    <row r="38">
      <c r="A38" s="6" t="n"/>
      <c r="B38" s="7" t="n"/>
      <c r="C38" s="8">
        <f>IF($B38="","",INT(ROUND($B38*100,0)/(C$3*100)))</f>
        <v/>
      </c>
      <c r="D38" s="8">
        <f>IF($B38="","",INT((ROUND($B38*100,0)-SUMPRODUCT($C38:C38,$C$3:C$3)*100)/(D$3*100)))</f>
        <v/>
      </c>
      <c r="E38" s="8">
        <f>IF($B38="","",INT((ROUND($B38*100,0)-SUMPRODUCT($C38:D38,$C$3:D$3)*100)/(E$3*100)))</f>
        <v/>
      </c>
      <c r="F38" s="8">
        <f>IF($B38="","",INT((ROUND($B38*100,0)-SUMPRODUCT($C38:E38,$C$3:E$3)*100)/(F$3*100)))</f>
        <v/>
      </c>
      <c r="G38" s="8">
        <f>IF($B38="","",INT((ROUND($B38*100,0)-SUMPRODUCT($C38:F38,$C$3:F$3)*100)/(G$3*100)))</f>
        <v/>
      </c>
      <c r="H38" s="8">
        <f>IF($B38="","",INT((ROUND($B38*100,0)-SUMPRODUCT($C38:G38,$C$3:G$3)*100)/(H$3*100)))</f>
        <v/>
      </c>
      <c r="I38" s="8">
        <f>IF($B38="","",INT((ROUND($B38*100,0)-SUMPRODUCT($C38:H38,$C$3:H$3)*100)/(I$3*100)))</f>
        <v/>
      </c>
      <c r="J38" s="8">
        <f>IF($B38="","",INT((ROUND($B38*100,0)-SUMPRODUCT($C38:I38,$C$3:I$3)*100)/(J$3*100)))</f>
        <v/>
      </c>
      <c r="K38" s="8">
        <f>IF($B38="","",INT((ROUND($B38*100,0)-SUMPRODUCT($C38:J38,$C$3:J$3)*100)/(K$3*100)))</f>
        <v/>
      </c>
    </row>
    <row r="39">
      <c r="A39" s="6" t="n"/>
      <c r="B39" s="7" t="n"/>
      <c r="C39" s="8">
        <f>IF($B39="","",INT(ROUND($B39*100,0)/(C$3*100)))</f>
        <v/>
      </c>
      <c r="D39" s="8">
        <f>IF($B39="","",INT((ROUND($B39*100,0)-SUMPRODUCT($C39:C39,$C$3:C$3)*100)/(D$3*100)))</f>
        <v/>
      </c>
      <c r="E39" s="8">
        <f>IF($B39="","",INT((ROUND($B39*100,0)-SUMPRODUCT($C39:D39,$C$3:D$3)*100)/(E$3*100)))</f>
        <v/>
      </c>
      <c r="F39" s="8">
        <f>IF($B39="","",INT((ROUND($B39*100,0)-SUMPRODUCT($C39:E39,$C$3:E$3)*100)/(F$3*100)))</f>
        <v/>
      </c>
      <c r="G39" s="8">
        <f>IF($B39="","",INT((ROUND($B39*100,0)-SUMPRODUCT($C39:F39,$C$3:F$3)*100)/(G$3*100)))</f>
        <v/>
      </c>
      <c r="H39" s="8">
        <f>IF($B39="","",INT((ROUND($B39*100,0)-SUMPRODUCT($C39:G39,$C$3:G$3)*100)/(H$3*100)))</f>
        <v/>
      </c>
      <c r="I39" s="8">
        <f>IF($B39="","",INT((ROUND($B39*100,0)-SUMPRODUCT($C39:H39,$C$3:H$3)*100)/(I$3*100)))</f>
        <v/>
      </c>
      <c r="J39" s="8">
        <f>IF($B39="","",INT((ROUND($B39*100,0)-SUMPRODUCT($C39:I39,$C$3:I$3)*100)/(J$3*100)))</f>
        <v/>
      </c>
      <c r="K39" s="8">
        <f>IF($B39="","",INT((ROUND($B39*100,0)-SUMPRODUCT($C39:J39,$C$3:J$3)*100)/(K$3*100)))</f>
        <v/>
      </c>
    </row>
    <row r="40">
      <c r="A40" s="6" t="n"/>
      <c r="B40" s="7" t="n"/>
      <c r="C40" s="8">
        <f>IF($B40="","",INT(ROUND($B40*100,0)/(C$3*100)))</f>
        <v/>
      </c>
      <c r="D40" s="8">
        <f>IF($B40="","",INT((ROUND($B40*100,0)-SUMPRODUCT($C40:C40,$C$3:C$3)*100)/(D$3*100)))</f>
        <v/>
      </c>
      <c r="E40" s="8">
        <f>IF($B40="","",INT((ROUND($B40*100,0)-SUMPRODUCT($C40:D40,$C$3:D$3)*100)/(E$3*100)))</f>
        <v/>
      </c>
      <c r="F40" s="8">
        <f>IF($B40="","",INT((ROUND($B40*100,0)-SUMPRODUCT($C40:E40,$C$3:E$3)*100)/(F$3*100)))</f>
        <v/>
      </c>
      <c r="G40" s="8">
        <f>IF($B40="","",INT((ROUND($B40*100,0)-SUMPRODUCT($C40:F40,$C$3:F$3)*100)/(G$3*100)))</f>
        <v/>
      </c>
      <c r="H40" s="8">
        <f>IF($B40="","",INT((ROUND($B40*100,0)-SUMPRODUCT($C40:G40,$C$3:G$3)*100)/(H$3*100)))</f>
        <v/>
      </c>
      <c r="I40" s="8">
        <f>IF($B40="","",INT((ROUND($B40*100,0)-SUMPRODUCT($C40:H40,$C$3:H$3)*100)/(I$3*100)))</f>
        <v/>
      </c>
      <c r="J40" s="8">
        <f>IF($B40="","",INT((ROUND($B40*100,0)-SUMPRODUCT($C40:I40,$C$3:I$3)*100)/(J$3*100)))</f>
        <v/>
      </c>
      <c r="K40" s="8">
        <f>IF($B40="","",INT((ROUND($B40*100,0)-SUMPRODUCT($C40:J40,$C$3:J$3)*100)/(K$3*100)))</f>
        <v/>
      </c>
    </row>
    <row r="41">
      <c r="A41" s="6" t="n"/>
      <c r="B41" s="7" t="n"/>
      <c r="C41" s="8">
        <f>IF($B41="","",INT(ROUND($B41*100,0)/(C$3*100)))</f>
        <v/>
      </c>
      <c r="D41" s="8">
        <f>IF($B41="","",INT((ROUND($B41*100,0)-SUMPRODUCT($C41:C41,$C$3:C$3)*100)/(D$3*100)))</f>
        <v/>
      </c>
      <c r="E41" s="8">
        <f>IF($B41="","",INT((ROUND($B41*100,0)-SUMPRODUCT($C41:D41,$C$3:D$3)*100)/(E$3*100)))</f>
        <v/>
      </c>
      <c r="F41" s="8">
        <f>IF($B41="","",INT((ROUND($B41*100,0)-SUMPRODUCT($C41:E41,$C$3:E$3)*100)/(F$3*100)))</f>
        <v/>
      </c>
      <c r="G41" s="8">
        <f>IF($B41="","",INT((ROUND($B41*100,0)-SUMPRODUCT($C41:F41,$C$3:F$3)*100)/(G$3*100)))</f>
        <v/>
      </c>
      <c r="H41" s="8">
        <f>IF($B41="","",INT((ROUND($B41*100,0)-SUMPRODUCT($C41:G41,$C$3:G$3)*100)/(H$3*100)))</f>
        <v/>
      </c>
      <c r="I41" s="8">
        <f>IF($B41="","",INT((ROUND($B41*100,0)-SUMPRODUCT($C41:H41,$C$3:H$3)*100)/(I$3*100)))</f>
        <v/>
      </c>
      <c r="J41" s="8">
        <f>IF($B41="","",INT((ROUND($B41*100,0)-SUMPRODUCT($C41:I41,$C$3:I$3)*100)/(J$3*100)))</f>
        <v/>
      </c>
      <c r="K41" s="8">
        <f>IF($B41="","",INT((ROUND($B41*100,0)-SUMPRODUCT($C41:J41,$C$3:J$3)*100)/(K$3*100)))</f>
        <v/>
      </c>
    </row>
    <row r="42">
      <c r="A42" s="6" t="n"/>
      <c r="B42" s="7" t="n"/>
      <c r="C42" s="8">
        <f>IF($B42="","",INT(ROUND($B42*100,0)/(C$3*100)))</f>
        <v/>
      </c>
      <c r="D42" s="8">
        <f>IF($B42="","",INT((ROUND($B42*100,0)-SUMPRODUCT($C42:C42,$C$3:C$3)*100)/(D$3*100)))</f>
        <v/>
      </c>
      <c r="E42" s="8">
        <f>IF($B42="","",INT((ROUND($B42*100,0)-SUMPRODUCT($C42:D42,$C$3:D$3)*100)/(E$3*100)))</f>
        <v/>
      </c>
      <c r="F42" s="8">
        <f>IF($B42="","",INT((ROUND($B42*100,0)-SUMPRODUCT($C42:E42,$C$3:E$3)*100)/(F$3*100)))</f>
        <v/>
      </c>
      <c r="G42" s="8">
        <f>IF($B42="","",INT((ROUND($B42*100,0)-SUMPRODUCT($C42:F42,$C$3:F$3)*100)/(G$3*100)))</f>
        <v/>
      </c>
      <c r="H42" s="8">
        <f>IF($B42="","",INT((ROUND($B42*100,0)-SUMPRODUCT($C42:G42,$C$3:G$3)*100)/(H$3*100)))</f>
        <v/>
      </c>
      <c r="I42" s="8">
        <f>IF($B42="","",INT((ROUND($B42*100,0)-SUMPRODUCT($C42:H42,$C$3:H$3)*100)/(I$3*100)))</f>
        <v/>
      </c>
      <c r="J42" s="8">
        <f>IF($B42="","",INT((ROUND($B42*100,0)-SUMPRODUCT($C42:I42,$C$3:I$3)*100)/(J$3*100)))</f>
        <v/>
      </c>
      <c r="K42" s="8">
        <f>IF($B42="","",INT((ROUND($B42*100,0)-SUMPRODUCT($C42:J42,$C$3:J$3)*100)/(K$3*100)))</f>
        <v/>
      </c>
    </row>
    <row r="43">
      <c r="A43" s="6" t="n"/>
      <c r="B43" s="7" t="n"/>
      <c r="C43" s="8">
        <f>IF($B43="","",INT(ROUND($B43*100,0)/(C$3*100)))</f>
        <v/>
      </c>
      <c r="D43" s="8">
        <f>IF($B43="","",INT((ROUND($B43*100,0)-SUMPRODUCT($C43:C43,$C$3:C$3)*100)/(D$3*100)))</f>
        <v/>
      </c>
      <c r="E43" s="8">
        <f>IF($B43="","",INT((ROUND($B43*100,0)-SUMPRODUCT($C43:D43,$C$3:D$3)*100)/(E$3*100)))</f>
        <v/>
      </c>
      <c r="F43" s="8">
        <f>IF($B43="","",INT((ROUND($B43*100,0)-SUMPRODUCT($C43:E43,$C$3:E$3)*100)/(F$3*100)))</f>
        <v/>
      </c>
      <c r="G43" s="8">
        <f>IF($B43="","",INT((ROUND($B43*100,0)-SUMPRODUCT($C43:F43,$C$3:F$3)*100)/(G$3*100)))</f>
        <v/>
      </c>
      <c r="H43" s="8">
        <f>IF($B43="","",INT((ROUND($B43*100,0)-SUMPRODUCT($C43:G43,$C$3:G$3)*100)/(H$3*100)))</f>
        <v/>
      </c>
      <c r="I43" s="8">
        <f>IF($B43="","",INT((ROUND($B43*100,0)-SUMPRODUCT($C43:H43,$C$3:H$3)*100)/(I$3*100)))</f>
        <v/>
      </c>
      <c r="J43" s="8">
        <f>IF($B43="","",INT((ROUND($B43*100,0)-SUMPRODUCT($C43:I43,$C$3:I$3)*100)/(J$3*100)))</f>
        <v/>
      </c>
      <c r="K43" s="8">
        <f>IF($B43="","",INT((ROUND($B43*100,0)-SUMPRODUCT($C43:J43,$C$3:J$3)*100)/(K$3*100)))</f>
        <v/>
      </c>
    </row>
    <row r="45">
      <c r="A45" s="9" t="inlineStr">
        <is>
          <t>TOTAL — Bestellung Sekretariat</t>
        </is>
      </c>
      <c r="B45" s="10">
        <f>SUM(B4:B43)</f>
        <v/>
      </c>
      <c r="C45" s="11">
        <f>SUM(C4:C43)</f>
        <v/>
      </c>
      <c r="D45" s="11">
        <f>SUM(D4:D43)</f>
        <v/>
      </c>
      <c r="E45" s="11">
        <f>SUM(E4:E43)</f>
        <v/>
      </c>
      <c r="F45" s="11">
        <f>SUM(F4:F43)</f>
        <v/>
      </c>
      <c r="G45" s="11">
        <f>SUM(G4:G43)</f>
        <v/>
      </c>
      <c r="H45" s="11">
        <f>SUM(H4:H43)</f>
        <v/>
      </c>
      <c r="I45" s="11">
        <f>SUM(I4:I43)</f>
        <v/>
      </c>
      <c r="J45" s="11">
        <f>SUM(J4:J43)</f>
        <v/>
      </c>
      <c r="K45" s="11">
        <f>SUM(K4:K43)</f>
        <v/>
      </c>
    </row>
    <row r="46">
      <c r="A46" s="12" t="inlineStr">
        <is>
          <t>Kontrolle (Summe Stückelung muss = Total sein)</t>
        </is>
      </c>
      <c r="B46" s="13">
        <f>SUMPRODUCT(C45:K45,C$3:K$3)</f>
        <v/>
      </c>
    </row>
    <row r="49">
      <c r="A49" s="14" t="inlineStr">
        <is>
          <t>Bestellliste fürs Sekretariat</t>
        </is>
      </c>
    </row>
    <row r="50">
      <c r="A50" s="3" t="inlineStr">
        <is>
          <t>Stückelung</t>
        </is>
      </c>
      <c r="B50" s="3" t="inlineStr">
        <is>
          <t>Typ</t>
        </is>
      </c>
      <c r="C50" s="3" t="inlineStr">
        <is>
          <t>Anzahl</t>
        </is>
      </c>
      <c r="D50" s="3" t="inlineStr">
        <is>
          <t>Wert (CHF)</t>
        </is>
      </c>
    </row>
    <row r="51">
      <c r="A51" s="15">
        <f>C$3</f>
        <v/>
      </c>
      <c r="B51" s="16" t="inlineStr">
        <is>
          <t>Note</t>
        </is>
      </c>
      <c r="C51" s="17">
        <f>C45</f>
        <v/>
      </c>
      <c r="D51" s="18">
        <f>C45*C$3</f>
        <v/>
      </c>
    </row>
    <row r="52">
      <c r="A52" s="15">
        <f>D$3</f>
        <v/>
      </c>
      <c r="B52" s="16" t="inlineStr">
        <is>
          <t>Note</t>
        </is>
      </c>
      <c r="C52" s="17">
        <f>D45</f>
        <v/>
      </c>
      <c r="D52" s="18">
        <f>D45*D$3</f>
        <v/>
      </c>
    </row>
    <row r="53">
      <c r="A53" s="15">
        <f>E$3</f>
        <v/>
      </c>
      <c r="B53" s="16" t="inlineStr">
        <is>
          <t>Note</t>
        </is>
      </c>
      <c r="C53" s="17">
        <f>E45</f>
        <v/>
      </c>
      <c r="D53" s="18">
        <f>E45*E$3</f>
        <v/>
      </c>
    </row>
    <row r="54">
      <c r="A54" s="15">
        <f>F$3</f>
        <v/>
      </c>
      <c r="B54" s="16" t="inlineStr">
        <is>
          <t>Münz</t>
        </is>
      </c>
      <c r="C54" s="17">
        <f>F45</f>
        <v/>
      </c>
      <c r="D54" s="18">
        <f>F45*F$3</f>
        <v/>
      </c>
    </row>
    <row r="55">
      <c r="A55" s="15">
        <f>G$3</f>
        <v/>
      </c>
      <c r="B55" s="16" t="inlineStr">
        <is>
          <t>Münz</t>
        </is>
      </c>
      <c r="C55" s="17">
        <f>G45</f>
        <v/>
      </c>
      <c r="D55" s="18">
        <f>G45*G$3</f>
        <v/>
      </c>
    </row>
    <row r="56">
      <c r="A56" s="15">
        <f>H$3</f>
        <v/>
      </c>
      <c r="B56" s="16" t="inlineStr">
        <is>
          <t>Münz</t>
        </is>
      </c>
      <c r="C56" s="17">
        <f>H45</f>
        <v/>
      </c>
      <c r="D56" s="18">
        <f>H45*H$3</f>
        <v/>
      </c>
    </row>
    <row r="57">
      <c r="A57" s="15">
        <f>I$3</f>
        <v/>
      </c>
      <c r="B57" s="16" t="inlineStr">
        <is>
          <t>Münz</t>
        </is>
      </c>
      <c r="C57" s="17">
        <f>I45</f>
        <v/>
      </c>
      <c r="D57" s="18">
        <f>I45*I$3</f>
        <v/>
      </c>
    </row>
    <row r="58">
      <c r="A58" s="15">
        <f>J$3</f>
        <v/>
      </c>
      <c r="B58" s="16" t="inlineStr">
        <is>
          <t>Münz</t>
        </is>
      </c>
      <c r="C58" s="17">
        <f>J45</f>
        <v/>
      </c>
      <c r="D58" s="18">
        <f>J45*J$3</f>
        <v/>
      </c>
    </row>
    <row r="59">
      <c r="A59" s="15">
        <f>K$3</f>
        <v/>
      </c>
      <c r="B59" s="16" t="inlineStr">
        <is>
          <t>Münz</t>
        </is>
      </c>
      <c r="C59" s="17">
        <f>K45</f>
        <v/>
      </c>
      <c r="D59" s="18">
        <f>K45*K$3</f>
        <v/>
      </c>
    </row>
    <row r="60">
      <c r="A60" s="9" t="inlineStr">
        <is>
          <t>Total</t>
        </is>
      </c>
      <c r="B60" s="19" t="n"/>
      <c r="C60" s="11">
        <f>SUM(C51:C59)</f>
        <v/>
      </c>
      <c r="D60" s="10">
        <f>SUM(D51:D59)</f>
        <v/>
      </c>
    </row>
  </sheetData>
  <mergeCells count="2">
    <mergeCell ref="A2:K2"/>
    <mergeCell ref="A1:K1"/>
  </mergeCells>
  <dataValidations count="1">
    <dataValidation sqref="B4:B43" showDropDown="0" showInputMessage="0" showErrorMessage="1" allowBlank="1" errorTitle="Ungültiger Betrag" error="Betrag muss zwischen 0.00 und 50.00 CHF liegen (Budget)." type="decimal" operator="between">
      <formula1>0</formula1>
      <formula2>50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2026-06-18T16:26:38Z</dcterms:created>
  <dcterms:modified xsi:type="dcterms:W3CDTF">2026-06-18T16:26:38Z</dcterms:modified>
</cp:coreProperties>
</file>